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enc\Documents\"/>
    </mc:Choice>
  </mc:AlternateContent>
  <xr:revisionPtr revIDLastSave="0" documentId="8_{C3F47AAD-3A41-4F0B-B7AE-2753E9DCCB91}" xr6:coauthVersionLast="47" xr6:coauthVersionMax="47" xr10:uidLastSave="{00000000-0000-0000-0000-000000000000}"/>
  <bookViews>
    <workbookView xWindow="-120" yWindow="-120" windowWidth="29040" windowHeight="15720" xr2:uid="{EEE09F3D-53A9-48F7-AB38-EEE57176D9CC}"/>
  </bookViews>
  <sheets>
    <sheet name="单人血契" sheetId="1" r:id="rId1"/>
    <sheet name="单人副契" sheetId="2" r:id="rId2"/>
    <sheet name="多人血契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5" i="1" l="1"/>
  <c r="I18" i="1"/>
  <c r="I19" i="1"/>
  <c r="K24" i="1"/>
</calcChain>
</file>

<file path=xl/sharedStrings.xml><?xml version="1.0" encoding="utf-8"?>
<sst xmlns="http://schemas.openxmlformats.org/spreadsheetml/2006/main" count="315" uniqueCount="249">
  <si>
    <t>冲刺体力消耗变为0，可无限冲刺</t>
  </si>
  <si>
    <t>dashStaminaCost = 0</t>
  </si>
  <si>
    <t>冲刺不消耗体力</t>
  </si>
  <si>
    <t>main_023</t>
  </si>
  <si>
    <t>世界树之根</t>
  </si>
  <si>
    <t>猩红状态的攻速/移速/伤害所有加成效果提升mainparam_001倍</t>
  </si>
  <si>
    <t>scarletBuffMultiplier = 1 + mainparam_001</t>
  </si>
  <si>
    <t>猩红状态的效果增强，全属性大幅提升</t>
  </si>
  <si>
    <t>main_022</t>
  </si>
  <si>
    <t>诸神黄昏</t>
  </si>
  <si>
    <t>生命值越低加成越高，攻击力+mainparam_001×(1-血量%)，暴击率同理+mainparam_002×(1-血量%)</t>
  </si>
  <si>
    <t>damageBonus = mainparam_001 * (1 - HP%)</t>
  </si>
  <si>
    <t>生命值越低，攻击力和暴击率越高</t>
  </si>
  <si>
    <t>main_021</t>
  </si>
  <si>
    <t>狂战士之怒</t>
  </si>
  <si>
    <t>所有攻击mainparam_001概率触发灼烧，灼烧伤害为基础灼烧的mainparam_002倍，灼烧伤害为mainparam_003（引用）</t>
  </si>
  <si>
    <t>burnDamage = baseBurnDamage * mainparam_002</t>
  </si>
  <si>
    <t>所有攻击必定触发灼烧，灼烧伤害翻倍</t>
  </si>
  <si>
    <t>main_020</t>
  </si>
  <si>
    <t>苏尔特之焰</t>
  </si>
  <si>
    <t>攻击变为mainparam_001+1段气刃，每段攻击弧度增加mainparam_002</t>
  </si>
  <si>
    <t>attackCount = 1 + mainparam_001</t>
  </si>
  <si>
    <t>0,1,2</t>
  </si>
  <si>
    <t>攻击变为前方三片气刃</t>
  </si>
  <si>
    <t>main_019</t>
  </si>
  <si>
    <t>加姆之吠</t>
  </si>
  <si>
    <t>回收地上道具，将其价值的mainparam_001转化为魔币</t>
  </si>
  <si>
    <t>coinFromItem = itemValue * mainparam_001</t>
  </si>
  <si>
    <t>魔源再塑将地上的道具回收其价值“触发效果”，再塑成魔币</t>
  </si>
  <si>
    <t>main_018</t>
  </si>
  <si>
    <t>重塑之契</t>
  </si>
  <si>
    <t>暴击时若目标血量低于mainparam_001，额外造成mainparam_002点伤害，暴击率额外+mainparam_003</t>
  </si>
  <si>
    <t>if targetHP% &lt; mainparam_001: bonusDamage = mainparam_002</t>
  </si>
  <si>
    <t>暴击时对低血量敌人额外伤害</t>
  </si>
  <si>
    <t>main_017</t>
  </si>
  <si>
    <t>猎杀之契</t>
  </si>
  <si>
    <t>每击杀mainparam_001个敌人回复mainparam_002点生命值</t>
  </si>
  <si>
    <t>healPerKillThreshold = mainparam_001; healAmount = mainparam_002</t>
  </si>
  <si>
    <t>攻击命中时回复生命值，吸血续航</t>
  </si>
  <si>
    <t>main_016</t>
  </si>
  <si>
    <t>猩红之吻</t>
  </si>
  <si>
    <t>攻击命中概率触发冻结，总伤害为mainparam_001由下列数值决定，每次触发伤害为mainparam_002，触发间隔为mainparam_003，效果时间为mainparam_004，减速效果为mainparam_005，触发概率为mainparam_006；减速公式为怪物的基础速度 -= mainparam_004，在第一次触发冻结时施加减速效果，期间不重复施加</t>
  </si>
  <si>
    <t>mainparam_001 = mainparam_002 * （mainparam_004 / mainparam_003）* mainparam_006</t>
  </si>
  <si>
    <t>攻击有几率冻结敌人，使其无法移动</t>
  </si>
  <si>
    <t>main_015</t>
  </si>
  <si>
    <t>霜息之契</t>
  </si>
  <si>
    <t>攻击命中概率触发灼烧，总伤害为mainparam_001由下列数值决定，每次触发伤害为mainparam_002，触发间隔为mainparam_003，效果时间为mainparam_004，触发概率为mainparam_005</t>
  </si>
  <si>
    <t>mainparam_001 = mainparam_002 * （mainparam_004 / mainparam_003）* mainparam_005</t>
  </si>
  <si>
    <t>攻击有几率触发灼烧，持续造成火焰伤害</t>
  </si>
  <si>
    <t>main_014</t>
  </si>
  <si>
    <t>烬火之契</t>
  </si>
  <si>
    <t>领域内受到玩家攻击力×触发继承程度mainparam_001的伤害，触发间隔为mainparam_002，以玩家为中心产生半径mainparam_003的领域</t>
  </si>
  <si>
    <t>BlackholeDPS = damage * mainparam_001</t>
  </si>
  <si>
    <t>以自身为中心产生领域，领域内敌人持续受到伤害</t>
  </si>
  <si>
    <t>main_013</t>
  </si>
  <si>
    <t>荒芜之契</t>
  </si>
  <si>
    <t>攻击散发弧形剑气，攻击范围=基础范围+气刃扇长度mainparam_001，攻击弧度增加mainparam_002</t>
  </si>
  <si>
    <t>attackRange = weaponRange + mainparam_001; attackArc += mainparam_002</t>
  </si>
  <si>
    <t>攻击时散发弧形剑气，大幅延长攻击范围</t>
  </si>
  <si>
    <t>main_012</t>
  </si>
  <si>
    <t>残月之契</t>
  </si>
  <si>
    <t>攻击命中触发流血，总伤害为mainparam_001由下列数值决定，每次触发伤害为mainparam_002，触发间隔为mainparam_003，效果时间为mainparam_004，可在球形效果范围，半径为mainparam_006内连锁传播最多mainparam_005次</t>
  </si>
  <si>
    <t>攻击敌人附加流血效果，流血可连锁传播</t>
  </si>
  <si>
    <t>main_011</t>
  </si>
  <si>
    <t>血潮之契</t>
  </si>
  <si>
    <t>无敌时长=无敌时长+提升无敌时长</t>
  </si>
  <si>
    <t>invincibleTime += mainparam_001</t>
  </si>
  <si>
    <t>提升玩家受击之后的无敌时间</t>
  </si>
  <si>
    <t>main_010</t>
  </si>
  <si>
    <t>铁壁之纹</t>
  </si>
  <si>
    <t>击退力度=击退力度+提升击退力度</t>
  </si>
  <si>
    <t>knockbackForce += mainparam_001</t>
  </si>
  <si>
    <t>提升玩家的击退力</t>
  </si>
  <si>
    <t>main_009</t>
  </si>
  <si>
    <t>雷神之锤</t>
  </si>
  <si>
    <t>攻击弧度=攻击弧度+气刃扇弧度</t>
  </si>
  <si>
    <t>attackArc += mainparam_001</t>
  </si>
  <si>
    <t>提高玩家攻击范围</t>
  </si>
  <si>
    <t>main_008</t>
  </si>
  <si>
    <t>长镰之锋</t>
  </si>
  <si>
    <t>攻击冷却=攻击冷却×(1-冷却缩减)</t>
  </si>
  <si>
    <t>cooldown *= (1 - mainparam_001)</t>
  </si>
  <si>
    <t>缩减玩家攻击冷却</t>
  </si>
  <si>
    <t>main_007</t>
  </si>
  <si>
    <t>疾风之力</t>
  </si>
  <si>
    <t>暴击伤害=暴击伤害+提升暴击伤害</t>
  </si>
  <si>
    <t>critDamage += mainparam_001</t>
  </si>
  <si>
    <t>提高玩家暴击伤害</t>
  </si>
  <si>
    <t>main_006</t>
  </si>
  <si>
    <t>处刑之刃</t>
  </si>
  <si>
    <t>暴击率=暴击率+提升暴击率</t>
  </si>
  <si>
    <t>critRate += mainparam_001</t>
  </si>
  <si>
    <t>提高玩家暴击率</t>
  </si>
  <si>
    <t>main_005</t>
  </si>
  <si>
    <t>奥丁之眼</t>
  </si>
  <si>
    <t>玩家生命值上限=玩家生命值上限+提升生命值</t>
  </si>
  <si>
    <t>maxHealth += mainparam_001</t>
  </si>
  <si>
    <t>提升玩家生命值上限</t>
  </si>
  <si>
    <t>main_004</t>
  </si>
  <si>
    <t>不朽之血</t>
  </si>
  <si>
    <t>玩家体力上限=玩家体力上限+提升体力上限</t>
  </si>
  <si>
    <t>maxStamina += mainparam_001</t>
  </si>
  <si>
    <t>提高玩家体力上限</t>
  </si>
  <si>
    <t>main_003</t>
  </si>
  <si>
    <t>约顿之躯</t>
  </si>
  <si>
    <t>玩家伤害=玩家伤害+提升攻击力</t>
  </si>
  <si>
    <t>damage += mainparam_001</t>
  </si>
  <si>
    <t>提高玩家伤害</t>
  </si>
  <si>
    <t>main_002</t>
  </si>
  <si>
    <t>芬里尔之牙</t>
  </si>
  <si>
    <t>玩家速度=玩家速度+提升速度</t>
  </si>
  <si>
    <t>speed += mainparam_001</t>
  </si>
  <si>
    <t>提高玩家移速</t>
  </si>
  <si>
    <t>main_001</t>
  </si>
  <si>
    <t>渡鸦之翼</t>
  </si>
  <si>
    <t>float</t>
  </si>
  <si>
    <t>int</t>
  </si>
  <si>
    <t>string</t>
  </si>
  <si>
    <t>血契标签</t>
  </si>
  <si>
    <t>血契ID</t>
  </si>
  <si>
    <t>mainparam_012</t>
  </si>
  <si>
    <t>mainparam_011</t>
  </si>
  <si>
    <t>mainparam_010</t>
  </si>
  <si>
    <t>mainparam_009</t>
  </si>
  <si>
    <t>mainparam_008</t>
  </si>
  <si>
    <t>mainparam_007</t>
  </si>
  <si>
    <t>mainparam_006</t>
  </si>
  <si>
    <t>mainparam_005</t>
  </si>
  <si>
    <t>mainparam_004</t>
  </si>
  <si>
    <t>mainparam_003</t>
  </si>
  <si>
    <t>mainparam_002</t>
  </si>
  <si>
    <t>mainparam_001</t>
  </si>
  <si>
    <t>英文标签</t>
  </si>
  <si>
    <t>通用数值_012</t>
  </si>
  <si>
    <t>通用数值_011</t>
  </si>
  <si>
    <t>通用数值_010</t>
  </si>
  <si>
    <t>通用数值_009</t>
  </si>
  <si>
    <t>通用数值_008</t>
  </si>
  <si>
    <t>通用数值_007</t>
  </si>
  <si>
    <t>通用数值_006</t>
  </si>
  <si>
    <t>通用数值_005</t>
  </si>
  <si>
    <t>通用数值_004</t>
  </si>
  <si>
    <t>通用数值_003</t>
  </si>
  <si>
    <t>通用数值_002</t>
  </si>
  <si>
    <t>通用数值_001</t>
  </si>
  <si>
    <t>公式含义</t>
  </si>
  <si>
    <t>公式</t>
  </si>
  <si>
    <t>可获得次数</t>
  </si>
  <si>
    <t>系列从属</t>
  </si>
  <si>
    <t>血契等级</t>
  </si>
  <si>
    <t>效果描述</t>
  </si>
  <si>
    <t>中文ID</t>
  </si>
  <si>
    <t>顺序一般为伤害，范围，时间，频率，倍率
效果类buff，被重复施加时延长效果时间，而不是叠加效果，重复获得可叠加？</t>
  </si>
  <si>
    <t>公式只是参考逻辑</t>
  </si>
  <si>
    <t>999为不设上限可重复获得基本上是强化效果</t>
  </si>
  <si>
    <t>0为公共血契</t>
  </si>
  <si>
    <t>1=普通血契
2=高级血契
3=终极血契
-1=普通副契
-2=高级副契
-3=终极副契</t>
  </si>
  <si>
    <t xml:space="preserve">
黄色为不需要填入数值，只是参考数值
蓝色为引用</t>
  </si>
  <si>
    <t>数值为正则加为负则减</t>
  </si>
  <si>
    <t>备注</t>
  </si>
  <si>
    <t>无法看到具体血契选择，选到可叠加血契时额外获得一份相同血契(含副契)</t>
  </si>
  <si>
    <t>hiddenSelection = true; bonusDuplicate = true</t>
  </si>
  <si>
    <t>你无法再看到具体选择了什么血契，但选到可叠加的血契时上帝会额外送你一份一样的血契，包括副契</t>
  </si>
  <si>
    <t>sub_015</t>
  </si>
  <si>
    <t>上帝的蒙蔽</t>
  </si>
  <si>
    <t>所有敌人最大生命值+subparam_001，击杀掉落猩红和魔币×subparam_002</t>
  </si>
  <si>
    <t>enemyMaxHealth *= subparam_002; dropAmount *= subparam_002</t>
  </si>
  <si>
    <t>所有敌人最大生命值，击杀后提升掉落猩红资源和金币</t>
  </si>
  <si>
    <t>sub_014</t>
  </si>
  <si>
    <t>血月之蚀</t>
  </si>
  <si>
    <t>精英怪濒死时进入subparam_001秒不死状态，期间攻击力×subparam_002</t>
  </si>
  <si>
    <t>undyingDuration = subparam_001; damageMultiplier = subparam_002</t>
  </si>
  <si>
    <t>精英怪濒死时进入不死状态“粗发效果”秒，期间攻击力*“触发效果”</t>
  </si>
  <si>
    <t>sub_013</t>
  </si>
  <si>
    <t>海拉之拥抱</t>
  </si>
  <si>
    <t>敌人移动留下灼烧轨迹，持续subparam_001秒，玩家踩上获得灼烧效果，间隔subparam_002受subparam_003点伤害，效果持续subparam_004，轨迹半径subparam_005</t>
  </si>
  <si>
    <t>subparam_003</t>
  </si>
  <si>
    <t>所有敌人的移动留下轨迹附带灼烧效果，玩家踩上去后持续掉血</t>
  </si>
  <si>
    <t>sub_012</t>
  </si>
  <si>
    <t>苏尔特之降临</t>
  </si>
  <si>
    <t>Boss解锁新招式</t>
  </si>
  <si>
    <t>boss解锁新招式</t>
  </si>
  <si>
    <t>sub_011</t>
  </si>
  <si>
    <t>诸神黄昏·末曲</t>
  </si>
  <si>
    <t>小怪死亡时爆炸，延迟subparam_001对半径subparam_003范围内玩家造成subparam_002点伤害</t>
  </si>
  <si>
    <t>explosionDamage = subparam_002</t>
  </si>
  <si>
    <t>小怪死亡时发生爆炸，对周围玩家造成范围伤害</t>
  </si>
  <si>
    <t>sub_009</t>
  </si>
  <si>
    <t>爆裂之躯</t>
  </si>
  <si>
    <t>小怪死亡时有subparam_001概率召唤subparam_002只近战小怪</t>
  </si>
  <si>
    <t>summonCount = subparam_002</t>
  </si>
  <si>
    <t>小怪死亡时有几率召唤“触发效果”数量近战小怪</t>
  </si>
  <si>
    <t>sub_008</t>
  </si>
  <si>
    <t>亡者之嚎</t>
  </si>
  <si>
    <t>精英怪获得subparam_001减伤装甲，弹反破防后恢复正常伤害</t>
  </si>
  <si>
    <t>eliteDamageReduction = subparam_001</t>
  </si>
  <si>
    <t>精英怪获得装甲，需弹反破防后才能造成正常伤害</t>
  </si>
  <si>
    <t>sub_007</t>
  </si>
  <si>
    <t>龙鳞之铠</t>
  </si>
  <si>
    <t>敌人攻击冷却=敌人攻击冷却×(1-冷却缩减)</t>
  </si>
  <si>
    <t>enemyCooldown *= (1 - subparam_001)</t>
  </si>
  <si>
    <t>缩短敌人的攻击冷却</t>
  </si>
  <si>
    <t>sub_006</t>
  </si>
  <si>
    <t>迅捷之爪</t>
  </si>
  <si>
    <t>敌人击退力度=敌人击退力度+提升击退力度subparam_001</t>
  </si>
  <si>
    <t>enemyKnockback += subparam_001</t>
  </si>
  <si>
    <t>提升敌人的击退力度</t>
  </si>
  <si>
    <t>sub_005</t>
  </si>
  <si>
    <t>重击之拳</t>
  </si>
  <si>
    <t>敌人攻击范围=敌人攻击范围+气刃扇弧度</t>
  </si>
  <si>
    <t>enemyAttackRange += subparam_001</t>
  </si>
  <si>
    <t>提升敌人的攻击范围</t>
  </si>
  <si>
    <t>sub_004</t>
  </si>
  <si>
    <t>长臂之握</t>
  </si>
  <si>
    <t>敌人生命值=敌人生命值+提升生命值</t>
  </si>
  <si>
    <t>enemyHealth += subparam_001</t>
  </si>
  <si>
    <t>提升敌人的生命值</t>
  </si>
  <si>
    <t>sub_003</t>
  </si>
  <si>
    <t>尸鬼之皮</t>
  </si>
  <si>
    <t>敌人攻击力=敌人攻击力+提升攻击力</t>
  </si>
  <si>
    <t>enemyDamage += subparam_001</t>
  </si>
  <si>
    <t>提升敌人的攻击力</t>
  </si>
  <si>
    <t>sub_002</t>
  </si>
  <si>
    <t>凶兽之爪</t>
  </si>
  <si>
    <t>敌人移动速度=敌人移动速度+提升速度</t>
  </si>
  <si>
    <t>enemySpeed += subparam_001</t>
  </si>
  <si>
    <t>提升敌人的移动速度</t>
  </si>
  <si>
    <t>sub_001</t>
  </si>
  <si>
    <t>饿狼之饥</t>
  </si>
  <si>
    <t>副契ID</t>
  </si>
  <si>
    <t>subparam_008</t>
  </si>
  <si>
    <t>subparam_007</t>
  </si>
  <si>
    <t>subparam_006</t>
  </si>
  <si>
    <t>subparam_005</t>
  </si>
  <si>
    <t>subparam_004</t>
  </si>
  <si>
    <t>subparam_002</t>
  </si>
  <si>
    <t>subparam_001</t>
  </si>
  <si>
    <t>红色标记的数值在公式中一般为百分数值</t>
  </si>
  <si>
    <t>可复活一名死去的队友一次</t>
  </si>
  <si>
    <t>reviveCharges = 1</t>
  </si>
  <si>
    <t>复活一命死去的队友</t>
  </si>
  <si>
    <t>multi_main_002</t>
  </si>
  <si>
    <t>死者苏生</t>
  </si>
  <si>
    <t>猩红资源上限=猩红资源上限×(1+multimainparam_001)</t>
  </si>
  <si>
    <t>maxScarlet *= (1 + multimainparam_001)</t>
  </si>
  <si>
    <t>提升可容纳的猩红值百分比</t>
  </si>
  <si>
    <t>multi_main_001</t>
  </si>
  <si>
    <t>容血之契</t>
  </si>
  <si>
    <t>multimainparam_001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</si>
</sst>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8425-F29B-49B1-8FD2-91C5EE8C668F}">
  <sheetPr>
    <outlinePr summaryBelow="0" summaryRight="0"/>
  </sheetPr>
  <dimension ref="A1:AH27"/>
  <sheetViews>
    <sheetView tabSelected="1" workbookViewId="0">
      <pane ySplit="3" topLeftCell="A19" activePane="bottomLeft" state="frozen"/>
      <selection activeCell="E14" sqref="E14"/>
      <selection pane="bottomLeft" activeCell="E14" sqref="E14"/>
    </sheetView>
  </sheetViews>
  <sheetFormatPr defaultColWidth="14" defaultRowHeight="14.25" x14ac:dyDescent="0.2"/>
  <cols>
    <col min="1" max="1" width="22" style="1" customWidth="1"/>
    <col min="2" max="5" width="14" style="1" customWidth="1"/>
    <col min="6" max="7" width="40" style="1" customWidth="1"/>
    <col min="8" max="8" width="37.75" style="1" customWidth="1"/>
    <col min="9" max="26" width="14" style="1" customWidth="1"/>
    <col min="27" max="29" width="14" style="2" customWidth="1"/>
    <col min="30" max="30" width="14" style="1" customWidth="1"/>
    <col min="31" max="16384" width="14" style="1"/>
  </cols>
  <sheetData>
    <row r="1" spans="1:34" ht="99.95" customHeight="1" x14ac:dyDescent="0.2">
      <c r="A1" s="2" t="s">
        <v>159</v>
      </c>
      <c r="B1" s="2" t="s">
        <v>158</v>
      </c>
      <c r="C1" s="2" t="s">
        <v>157</v>
      </c>
      <c r="D1" s="2" t="s">
        <v>156</v>
      </c>
      <c r="E1" s="2" t="s">
        <v>155</v>
      </c>
      <c r="F1" s="2" t="s">
        <v>154</v>
      </c>
      <c r="G1" s="2" t="s">
        <v>153</v>
      </c>
      <c r="H1" s="2" t="s">
        <v>152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D1" s="2"/>
      <c r="AE1" s="2"/>
      <c r="AF1" s="2"/>
      <c r="AG1" s="2"/>
      <c r="AH1" s="2"/>
    </row>
    <row r="2" spans="1:34" ht="84" customHeight="1" x14ac:dyDescent="0.2">
      <c r="A2" s="2" t="s">
        <v>151</v>
      </c>
      <c r="B2" s="2"/>
      <c r="C2" s="2" t="s">
        <v>150</v>
      </c>
      <c r="D2" s="2" t="s">
        <v>149</v>
      </c>
      <c r="E2" s="2" t="s">
        <v>148</v>
      </c>
      <c r="F2" s="2" t="s">
        <v>147</v>
      </c>
      <c r="G2" s="2" t="s">
        <v>146</v>
      </c>
      <c r="H2" s="2" t="s">
        <v>145</v>
      </c>
      <c r="I2" s="2" t="s">
        <v>144</v>
      </c>
      <c r="J2" s="2" t="s">
        <v>143</v>
      </c>
      <c r="K2" s="2" t="s">
        <v>142</v>
      </c>
      <c r="L2" s="2" t="s">
        <v>141</v>
      </c>
      <c r="M2" s="2" t="s">
        <v>140</v>
      </c>
      <c r="N2" s="2" t="s">
        <v>139</v>
      </c>
      <c r="O2" s="2" t="s">
        <v>138</v>
      </c>
      <c r="P2" s="2" t="s">
        <v>137</v>
      </c>
      <c r="Q2" s="2" t="s">
        <v>136</v>
      </c>
      <c r="R2" s="2" t="s">
        <v>135</v>
      </c>
      <c r="S2" s="2" t="s">
        <v>134</v>
      </c>
      <c r="T2" s="2" t="s">
        <v>133</v>
      </c>
      <c r="U2" s="2"/>
      <c r="V2" s="2"/>
      <c r="W2" s="2"/>
      <c r="X2" s="2"/>
      <c r="Y2" s="2"/>
      <c r="Z2" s="2"/>
      <c r="AD2" s="2"/>
      <c r="AE2" s="2"/>
      <c r="AF2" s="2"/>
      <c r="AG2" s="2"/>
      <c r="AH2" s="2"/>
    </row>
    <row r="3" spans="1:34" ht="84" customHeight="1" x14ac:dyDescent="0.2">
      <c r="A3" s="2" t="s">
        <v>132</v>
      </c>
      <c r="B3" s="2"/>
      <c r="C3" s="2"/>
      <c r="D3" s="2"/>
      <c r="E3" s="2"/>
      <c r="F3" s="2"/>
      <c r="G3" s="2"/>
      <c r="H3" s="2"/>
      <c r="I3" s="2" t="s">
        <v>131</v>
      </c>
      <c r="J3" s="2" t="s">
        <v>130</v>
      </c>
      <c r="K3" s="2" t="s">
        <v>129</v>
      </c>
      <c r="L3" s="2" t="s">
        <v>128</v>
      </c>
      <c r="M3" s="2" t="s">
        <v>127</v>
      </c>
      <c r="N3" s="2" t="s">
        <v>126</v>
      </c>
      <c r="O3" s="2" t="s">
        <v>125</v>
      </c>
      <c r="P3" s="2" t="s">
        <v>124</v>
      </c>
      <c r="Q3" s="2" t="s">
        <v>123</v>
      </c>
      <c r="R3" s="2" t="s">
        <v>122</v>
      </c>
      <c r="S3" s="2" t="s">
        <v>121</v>
      </c>
      <c r="T3" s="2" t="s">
        <v>120</v>
      </c>
      <c r="U3" s="2"/>
      <c r="V3" s="2"/>
      <c r="W3" s="2"/>
      <c r="X3" s="2"/>
      <c r="Y3" s="2"/>
      <c r="Z3" s="2"/>
      <c r="AD3" s="2"/>
      <c r="AE3" s="2"/>
      <c r="AF3" s="2"/>
      <c r="AG3" s="2"/>
      <c r="AH3" s="2"/>
    </row>
    <row r="4" spans="1:34" ht="84" customHeight="1" x14ac:dyDescent="0.2">
      <c r="A4" s="5" t="s">
        <v>119</v>
      </c>
      <c r="B4" s="5" t="s">
        <v>118</v>
      </c>
      <c r="C4" s="2" t="s">
        <v>117</v>
      </c>
      <c r="D4" s="2" t="s">
        <v>116</v>
      </c>
      <c r="E4" s="2" t="s">
        <v>116</v>
      </c>
      <c r="F4" s="2" t="s">
        <v>116</v>
      </c>
      <c r="G4" s="2"/>
      <c r="H4" s="2"/>
      <c r="I4" s="2" t="s">
        <v>115</v>
      </c>
      <c r="J4" s="2" t="s">
        <v>115</v>
      </c>
      <c r="K4" s="2" t="s">
        <v>115</v>
      </c>
      <c r="L4" s="2" t="s">
        <v>115</v>
      </c>
      <c r="M4" s="2" t="s">
        <v>115</v>
      </c>
      <c r="N4" s="2" t="s">
        <v>115</v>
      </c>
      <c r="O4" s="2" t="s">
        <v>115</v>
      </c>
      <c r="P4" s="2" t="s">
        <v>115</v>
      </c>
      <c r="Q4" s="2" t="s">
        <v>115</v>
      </c>
      <c r="R4" s="2" t="s">
        <v>115</v>
      </c>
      <c r="S4" s="2" t="s">
        <v>115</v>
      </c>
      <c r="T4" s="2" t="s">
        <v>115</v>
      </c>
      <c r="U4" s="2"/>
      <c r="V4" s="2"/>
      <c r="W4" s="2"/>
      <c r="X4" s="2"/>
      <c r="Y4" s="2"/>
      <c r="Z4" s="2"/>
      <c r="AD4" s="2"/>
      <c r="AE4" s="2"/>
      <c r="AF4" s="2"/>
      <c r="AG4" s="2"/>
      <c r="AH4" s="2"/>
    </row>
    <row r="5" spans="1:34" ht="48" customHeight="1" x14ac:dyDescent="0.2">
      <c r="A5" s="2" t="s">
        <v>114</v>
      </c>
      <c r="B5" s="2" t="s">
        <v>113</v>
      </c>
      <c r="C5" s="2" t="s">
        <v>112</v>
      </c>
      <c r="D5" s="2">
        <v>1</v>
      </c>
      <c r="E5" s="2">
        <v>0</v>
      </c>
      <c r="F5" s="2">
        <v>999</v>
      </c>
      <c r="G5" s="2" t="s">
        <v>111</v>
      </c>
      <c r="H5" s="2" t="s">
        <v>110</v>
      </c>
      <c r="I5" s="2">
        <v>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D5" s="2"/>
      <c r="AE5" s="2"/>
      <c r="AF5" s="2"/>
      <c r="AG5" s="2"/>
      <c r="AH5" s="2"/>
    </row>
    <row r="6" spans="1:34" ht="39" customHeight="1" x14ac:dyDescent="0.2">
      <c r="A6" s="2" t="s">
        <v>109</v>
      </c>
      <c r="B6" s="2" t="s">
        <v>108</v>
      </c>
      <c r="C6" s="2" t="s">
        <v>107</v>
      </c>
      <c r="D6" s="2">
        <v>1</v>
      </c>
      <c r="E6" s="2">
        <v>0</v>
      </c>
      <c r="F6" s="2">
        <v>999</v>
      </c>
      <c r="G6" s="2" t="s">
        <v>106</v>
      </c>
      <c r="H6" s="2" t="s">
        <v>105</v>
      </c>
      <c r="I6" s="2">
        <v>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D6" s="2"/>
      <c r="AE6" s="2"/>
      <c r="AF6" s="2"/>
      <c r="AG6" s="2"/>
      <c r="AH6" s="2"/>
    </row>
    <row r="7" spans="1:34" ht="36" customHeight="1" x14ac:dyDescent="0.2">
      <c r="A7" s="2" t="s">
        <v>104</v>
      </c>
      <c r="B7" s="2" t="s">
        <v>103</v>
      </c>
      <c r="C7" s="2" t="s">
        <v>102</v>
      </c>
      <c r="D7" s="2">
        <v>1</v>
      </c>
      <c r="E7" s="2">
        <v>0</v>
      </c>
      <c r="F7" s="2">
        <v>999</v>
      </c>
      <c r="G7" s="2" t="s">
        <v>101</v>
      </c>
      <c r="H7" s="2" t="s">
        <v>100</v>
      </c>
      <c r="I7" s="2">
        <v>20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D7" s="2"/>
      <c r="AE7" s="2"/>
      <c r="AF7" s="2"/>
      <c r="AG7" s="2"/>
      <c r="AH7" s="2"/>
    </row>
    <row r="8" spans="1:34" ht="38.1" customHeight="1" x14ac:dyDescent="0.2">
      <c r="A8" s="2" t="s">
        <v>99</v>
      </c>
      <c r="B8" s="2" t="s">
        <v>98</v>
      </c>
      <c r="C8" s="2" t="s">
        <v>97</v>
      </c>
      <c r="D8" s="2">
        <v>1</v>
      </c>
      <c r="E8" s="2">
        <v>0</v>
      </c>
      <c r="F8" s="2">
        <v>999</v>
      </c>
      <c r="G8" s="2" t="s">
        <v>96</v>
      </c>
      <c r="H8" s="2" t="s">
        <v>95</v>
      </c>
      <c r="I8" s="2">
        <v>20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D8" s="2"/>
      <c r="AE8" s="2"/>
      <c r="AF8" s="2"/>
      <c r="AG8" s="2"/>
      <c r="AH8" s="2"/>
    </row>
    <row r="9" spans="1:34" ht="42" customHeight="1" x14ac:dyDescent="0.2">
      <c r="A9" s="2" t="s">
        <v>94</v>
      </c>
      <c r="B9" s="2" t="s">
        <v>93</v>
      </c>
      <c r="C9" s="2" t="s">
        <v>92</v>
      </c>
      <c r="D9" s="2">
        <v>1</v>
      </c>
      <c r="E9" s="2">
        <v>0</v>
      </c>
      <c r="F9" s="2">
        <v>999</v>
      </c>
      <c r="G9" s="2" t="s">
        <v>91</v>
      </c>
      <c r="H9" s="2" t="s">
        <v>90</v>
      </c>
      <c r="I9" s="2">
        <v>0.05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D9" s="2"/>
      <c r="AE9" s="2"/>
      <c r="AF9" s="2"/>
      <c r="AG9" s="2"/>
      <c r="AH9" s="2"/>
    </row>
    <row r="10" spans="1:34" ht="42" customHeight="1" x14ac:dyDescent="0.2">
      <c r="A10" s="2" t="s">
        <v>89</v>
      </c>
      <c r="B10" s="2" t="s">
        <v>88</v>
      </c>
      <c r="C10" s="2" t="s">
        <v>87</v>
      </c>
      <c r="D10" s="2">
        <v>1</v>
      </c>
      <c r="E10" s="2">
        <v>0</v>
      </c>
      <c r="F10" s="2">
        <v>999</v>
      </c>
      <c r="G10" s="2" t="s">
        <v>86</v>
      </c>
      <c r="H10" s="2" t="s">
        <v>85</v>
      </c>
      <c r="I10" s="2">
        <v>0.3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D10" s="2"/>
      <c r="AE10" s="2"/>
      <c r="AF10" s="2"/>
      <c r="AG10" s="2"/>
      <c r="AH10" s="2"/>
    </row>
    <row r="11" spans="1:34" ht="39" customHeight="1" x14ac:dyDescent="0.2">
      <c r="A11" s="2" t="s">
        <v>84</v>
      </c>
      <c r="B11" s="2" t="s">
        <v>83</v>
      </c>
      <c r="C11" s="2" t="s">
        <v>82</v>
      </c>
      <c r="D11" s="2">
        <v>1</v>
      </c>
      <c r="E11" s="2">
        <v>0</v>
      </c>
      <c r="F11" s="2">
        <v>999</v>
      </c>
      <c r="G11" s="2" t="s">
        <v>81</v>
      </c>
      <c r="H11" s="2" t="s">
        <v>80</v>
      </c>
      <c r="I11" s="2">
        <v>0.1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D11" s="2"/>
      <c r="AE11" s="2"/>
      <c r="AF11" s="2"/>
      <c r="AG11" s="2"/>
      <c r="AH11" s="2"/>
    </row>
    <row r="12" spans="1:34" ht="39.950000000000003" customHeight="1" x14ac:dyDescent="0.2">
      <c r="A12" s="2" t="s">
        <v>79</v>
      </c>
      <c r="B12" s="2" t="s">
        <v>78</v>
      </c>
      <c r="C12" s="2" t="s">
        <v>77</v>
      </c>
      <c r="D12" s="2">
        <v>1</v>
      </c>
      <c r="E12" s="2">
        <v>0</v>
      </c>
      <c r="F12" s="2">
        <v>999</v>
      </c>
      <c r="G12" s="2" t="s">
        <v>76</v>
      </c>
      <c r="H12" s="2" t="s">
        <v>75</v>
      </c>
      <c r="I12" s="2">
        <v>0.5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D12" s="2"/>
      <c r="AE12" s="2"/>
      <c r="AF12" s="2"/>
      <c r="AG12" s="2"/>
      <c r="AH12" s="2"/>
    </row>
    <row r="13" spans="1:34" ht="41.1" customHeight="1" x14ac:dyDescent="0.2">
      <c r="A13" s="2" t="s">
        <v>74</v>
      </c>
      <c r="B13" s="2" t="s">
        <v>73</v>
      </c>
      <c r="C13" s="2" t="s">
        <v>72</v>
      </c>
      <c r="D13" s="2">
        <v>1</v>
      </c>
      <c r="E13" s="2">
        <v>0</v>
      </c>
      <c r="F13" s="2">
        <v>999</v>
      </c>
      <c r="G13" s="2" t="s">
        <v>71</v>
      </c>
      <c r="H13" s="2" t="s">
        <v>70</v>
      </c>
      <c r="I13" s="2">
        <v>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D13" s="2"/>
      <c r="AE13" s="2"/>
      <c r="AF13" s="2"/>
      <c r="AG13" s="2"/>
      <c r="AH13" s="2"/>
    </row>
    <row r="14" spans="1:34" ht="42" customHeight="1" x14ac:dyDescent="0.2">
      <c r="A14" s="2" t="s">
        <v>69</v>
      </c>
      <c r="B14" s="2" t="s">
        <v>68</v>
      </c>
      <c r="C14" s="2" t="s">
        <v>67</v>
      </c>
      <c r="D14" s="2">
        <v>1</v>
      </c>
      <c r="E14" s="2">
        <v>0</v>
      </c>
      <c r="F14" s="2">
        <v>999</v>
      </c>
      <c r="G14" s="2" t="s">
        <v>66</v>
      </c>
      <c r="H14" s="2" t="s">
        <v>65</v>
      </c>
      <c r="I14" s="2">
        <v>0.2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D14" s="2"/>
      <c r="AE14" s="2"/>
      <c r="AF14" s="2"/>
      <c r="AG14" s="2"/>
      <c r="AH14" s="2"/>
    </row>
    <row r="15" spans="1:34" ht="99.75" customHeight="1" x14ac:dyDescent="0.2">
      <c r="A15" s="2" t="s">
        <v>64</v>
      </c>
      <c r="B15" s="2" t="s">
        <v>63</v>
      </c>
      <c r="C15" s="2" t="s">
        <v>62</v>
      </c>
      <c r="D15" s="2">
        <v>2</v>
      </c>
      <c r="E15" s="2">
        <v>1</v>
      </c>
      <c r="F15" s="2">
        <v>1</v>
      </c>
      <c r="G15" s="2" t="s">
        <v>47</v>
      </c>
      <c r="H15" s="2" t="s">
        <v>61</v>
      </c>
      <c r="I15" s="4">
        <f>J15*(L15/K15)*M15</f>
        <v>12</v>
      </c>
      <c r="J15" s="2">
        <v>1</v>
      </c>
      <c r="K15" s="2">
        <v>0.5</v>
      </c>
      <c r="L15" s="2">
        <v>2</v>
      </c>
      <c r="M15" s="2">
        <v>3</v>
      </c>
      <c r="N15" s="2">
        <v>3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D15" s="2"/>
      <c r="AE15" s="2"/>
      <c r="AF15" s="2"/>
      <c r="AG15" s="2"/>
      <c r="AH15" s="2"/>
    </row>
    <row r="16" spans="1:34" ht="42.75" customHeight="1" x14ac:dyDescent="0.2">
      <c r="A16" s="2" t="s">
        <v>60</v>
      </c>
      <c r="B16" s="2" t="s">
        <v>59</v>
      </c>
      <c r="C16" s="2" t="s">
        <v>58</v>
      </c>
      <c r="D16" s="2">
        <v>2</v>
      </c>
      <c r="E16" s="2" t="s">
        <v>22</v>
      </c>
      <c r="F16" s="2">
        <v>1</v>
      </c>
      <c r="G16" s="2" t="s">
        <v>57</v>
      </c>
      <c r="H16" s="2" t="s">
        <v>56</v>
      </c>
      <c r="I16" s="2">
        <v>1</v>
      </c>
      <c r="J16" s="2">
        <v>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D16" s="2"/>
      <c r="AE16" s="2"/>
      <c r="AF16" s="2"/>
      <c r="AG16" s="2"/>
      <c r="AH16" s="2"/>
    </row>
    <row r="17" spans="1:34" ht="57" customHeight="1" x14ac:dyDescent="0.2">
      <c r="A17" s="2" t="s">
        <v>55</v>
      </c>
      <c r="B17" s="2" t="s">
        <v>54</v>
      </c>
      <c r="C17" s="2" t="s">
        <v>53</v>
      </c>
      <c r="D17" s="2">
        <v>2</v>
      </c>
      <c r="E17" s="2">
        <v>3</v>
      </c>
      <c r="F17" s="2">
        <v>1</v>
      </c>
      <c r="G17" s="2" t="s">
        <v>52</v>
      </c>
      <c r="H17" s="2" t="s">
        <v>51</v>
      </c>
      <c r="I17" s="1">
        <v>0.3</v>
      </c>
      <c r="J17" s="2">
        <v>0.2</v>
      </c>
      <c r="K17" s="2">
        <v>3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D17" s="2"/>
      <c r="AE17" s="2"/>
      <c r="AF17" s="2"/>
      <c r="AG17" s="2"/>
      <c r="AH17" s="2"/>
    </row>
    <row r="18" spans="1:34" ht="85.5" customHeight="1" x14ac:dyDescent="0.2">
      <c r="A18" s="2" t="s">
        <v>50</v>
      </c>
      <c r="B18" s="2" t="s">
        <v>49</v>
      </c>
      <c r="C18" s="2" t="s">
        <v>48</v>
      </c>
      <c r="D18" s="2">
        <v>2</v>
      </c>
      <c r="E18" s="2">
        <v>2</v>
      </c>
      <c r="F18" s="2">
        <v>1</v>
      </c>
      <c r="G18" s="2" t="s">
        <v>47</v>
      </c>
      <c r="H18" s="2" t="s">
        <v>46</v>
      </c>
      <c r="I18" s="4">
        <f>J18*(L18/K18)*M18</f>
        <v>12</v>
      </c>
      <c r="J18" s="2">
        <v>4</v>
      </c>
      <c r="K18" s="2">
        <v>0.2</v>
      </c>
      <c r="L18" s="2">
        <v>2</v>
      </c>
      <c r="M18" s="2">
        <v>0.3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D18" s="2"/>
      <c r="AE18" s="2"/>
      <c r="AF18" s="2"/>
      <c r="AG18" s="2"/>
      <c r="AH18" s="2"/>
    </row>
    <row r="19" spans="1:34" ht="128.25" customHeight="1" x14ac:dyDescent="0.2">
      <c r="A19" s="2" t="s">
        <v>45</v>
      </c>
      <c r="B19" s="2" t="s">
        <v>44</v>
      </c>
      <c r="C19" s="2" t="s">
        <v>43</v>
      </c>
      <c r="D19" s="2">
        <v>2</v>
      </c>
      <c r="E19" s="2">
        <v>4</v>
      </c>
      <c r="F19" s="2">
        <v>1</v>
      </c>
      <c r="G19" s="2" t="s">
        <v>42</v>
      </c>
      <c r="H19" s="2" t="s">
        <v>41</v>
      </c>
      <c r="I19" s="4">
        <f>J19*(L19/K19)*N19</f>
        <v>3.2</v>
      </c>
      <c r="J19" s="2">
        <v>0.8</v>
      </c>
      <c r="K19" s="2">
        <v>0.2</v>
      </c>
      <c r="L19" s="2">
        <v>2</v>
      </c>
      <c r="M19" s="2">
        <v>2</v>
      </c>
      <c r="N19" s="2">
        <v>0.4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D19" s="2"/>
      <c r="AE19" s="2"/>
      <c r="AF19" s="2"/>
      <c r="AG19" s="2"/>
      <c r="AH19" s="2"/>
    </row>
    <row r="20" spans="1:34" ht="42.75" customHeight="1" x14ac:dyDescent="0.2">
      <c r="A20" s="2" t="s">
        <v>40</v>
      </c>
      <c r="B20" s="2" t="s">
        <v>39</v>
      </c>
      <c r="C20" s="2" t="s">
        <v>38</v>
      </c>
      <c r="D20" s="2">
        <v>2</v>
      </c>
      <c r="E20" s="2">
        <v>5</v>
      </c>
      <c r="F20" s="2">
        <v>1</v>
      </c>
      <c r="G20" s="2" t="s">
        <v>37</v>
      </c>
      <c r="H20" s="2" t="s">
        <v>36</v>
      </c>
      <c r="I20" s="2">
        <v>10</v>
      </c>
      <c r="J20" s="2">
        <v>5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D20" s="2"/>
      <c r="AE20" s="2"/>
      <c r="AF20" s="2"/>
      <c r="AG20" s="2"/>
      <c r="AH20" s="2"/>
    </row>
    <row r="21" spans="1:34" ht="57" customHeight="1" x14ac:dyDescent="0.2">
      <c r="A21" s="2" t="s">
        <v>35</v>
      </c>
      <c r="B21" s="2" t="s">
        <v>34</v>
      </c>
      <c r="C21" s="2" t="s">
        <v>33</v>
      </c>
      <c r="D21" s="2">
        <v>2</v>
      </c>
      <c r="E21" s="2">
        <v>0</v>
      </c>
      <c r="F21" s="2">
        <v>1</v>
      </c>
      <c r="G21" s="2" t="s">
        <v>32</v>
      </c>
      <c r="H21" s="2" t="s">
        <v>31</v>
      </c>
      <c r="I21" s="2">
        <v>0.3</v>
      </c>
      <c r="J21" s="2">
        <v>20</v>
      </c>
      <c r="K21" s="2">
        <v>0.05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D21" s="2"/>
      <c r="AE21" s="2"/>
      <c r="AF21" s="2"/>
      <c r="AG21" s="2"/>
      <c r="AH21" s="2"/>
    </row>
    <row r="22" spans="1:34" ht="57" customHeight="1" x14ac:dyDescent="0.2">
      <c r="A22" s="2" t="s">
        <v>30</v>
      </c>
      <c r="B22" s="2" t="s">
        <v>29</v>
      </c>
      <c r="C22" s="2" t="s">
        <v>28</v>
      </c>
      <c r="D22" s="2">
        <v>2</v>
      </c>
      <c r="E22" s="2">
        <v>0</v>
      </c>
      <c r="F22" s="2">
        <v>1</v>
      </c>
      <c r="G22" s="2" t="s">
        <v>27</v>
      </c>
      <c r="H22" s="2" t="s">
        <v>26</v>
      </c>
      <c r="I22" s="2">
        <v>0.6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D22" s="2"/>
      <c r="AE22" s="2"/>
      <c r="AF22" s="2"/>
      <c r="AG22" s="2"/>
      <c r="AH22" s="2"/>
    </row>
    <row r="23" spans="1:34" ht="42.75" customHeight="1" x14ac:dyDescent="0.2">
      <c r="A23" s="2" t="s">
        <v>25</v>
      </c>
      <c r="B23" s="2" t="s">
        <v>24</v>
      </c>
      <c r="C23" s="2" t="s">
        <v>23</v>
      </c>
      <c r="D23" s="2">
        <v>3</v>
      </c>
      <c r="E23" s="2" t="s">
        <v>22</v>
      </c>
      <c r="F23" s="2">
        <v>1</v>
      </c>
      <c r="G23" s="2" t="s">
        <v>21</v>
      </c>
      <c r="H23" s="2" t="s">
        <v>20</v>
      </c>
      <c r="I23" s="2">
        <v>2</v>
      </c>
      <c r="J23" s="2">
        <v>5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D23" s="2"/>
      <c r="AE23" s="2"/>
      <c r="AF23" s="2"/>
      <c r="AG23" s="2"/>
      <c r="AH23" s="2"/>
    </row>
    <row r="24" spans="1:34" ht="42.75" customHeight="1" x14ac:dyDescent="0.2">
      <c r="A24" s="2" t="s">
        <v>19</v>
      </c>
      <c r="B24" s="2" t="s">
        <v>18</v>
      </c>
      <c r="C24" s="2" t="s">
        <v>17</v>
      </c>
      <c r="D24" s="2">
        <v>3</v>
      </c>
      <c r="E24" s="2">
        <v>2</v>
      </c>
      <c r="F24" s="2">
        <v>1</v>
      </c>
      <c r="G24" s="2" t="s">
        <v>16</v>
      </c>
      <c r="H24" s="2" t="s">
        <v>15</v>
      </c>
      <c r="I24" s="2">
        <v>1</v>
      </c>
      <c r="J24" s="2">
        <v>2</v>
      </c>
      <c r="K24" s="3">
        <f>J18</f>
        <v>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D24" s="2"/>
      <c r="AE24" s="2"/>
      <c r="AF24" s="2"/>
      <c r="AG24" s="2"/>
      <c r="AH24" s="2"/>
    </row>
    <row r="25" spans="1:34" ht="42.75" customHeight="1" x14ac:dyDescent="0.2">
      <c r="A25" s="2" t="s">
        <v>14</v>
      </c>
      <c r="B25" s="2" t="s">
        <v>13</v>
      </c>
      <c r="C25" s="2" t="s">
        <v>12</v>
      </c>
      <c r="D25" s="2">
        <v>3</v>
      </c>
      <c r="E25" s="2">
        <v>6</v>
      </c>
      <c r="F25" s="2">
        <v>1</v>
      </c>
      <c r="G25" s="2" t="s">
        <v>11</v>
      </c>
      <c r="H25" s="2" t="s">
        <v>10</v>
      </c>
      <c r="I25" s="2">
        <v>3</v>
      </c>
      <c r="J25" s="2">
        <v>3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D25" s="2"/>
      <c r="AE25" s="2"/>
      <c r="AF25" s="2"/>
      <c r="AG25" s="2"/>
      <c r="AH25" s="2"/>
    </row>
    <row r="26" spans="1:34" ht="57" customHeight="1" x14ac:dyDescent="0.2">
      <c r="A26" s="2" t="s">
        <v>9</v>
      </c>
      <c r="B26" s="2" t="s">
        <v>8</v>
      </c>
      <c r="C26" s="2" t="s">
        <v>7</v>
      </c>
      <c r="D26" s="2">
        <v>3</v>
      </c>
      <c r="E26" s="2">
        <v>7</v>
      </c>
      <c r="F26" s="2">
        <v>1</v>
      </c>
      <c r="G26" s="2" t="s">
        <v>6</v>
      </c>
      <c r="H26" s="2" t="s">
        <v>5</v>
      </c>
      <c r="I26" s="2">
        <v>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D26" s="2"/>
      <c r="AE26" s="2"/>
      <c r="AF26" s="2"/>
      <c r="AG26" s="2"/>
      <c r="AH26" s="2"/>
    </row>
    <row r="27" spans="1:34" ht="42.75" customHeight="1" x14ac:dyDescent="0.2">
      <c r="A27" s="2" t="s">
        <v>4</v>
      </c>
      <c r="B27" s="2" t="s">
        <v>3</v>
      </c>
      <c r="C27" s="2" t="s">
        <v>2</v>
      </c>
      <c r="D27" s="2">
        <v>3</v>
      </c>
      <c r="E27" s="2">
        <v>0</v>
      </c>
      <c r="F27" s="2">
        <v>1</v>
      </c>
      <c r="G27" s="2" t="s">
        <v>1</v>
      </c>
      <c r="H27" s="2" t="s">
        <v>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D27" s="2"/>
      <c r="AE27" s="2"/>
      <c r="AF27" s="2"/>
      <c r="AG27" s="2"/>
      <c r="AH27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E717-7C2B-4FF3-9FAF-245C7F822946}">
  <dimension ref="A1:P18"/>
  <sheetViews>
    <sheetView workbookViewId="0">
      <pane ySplit="4" topLeftCell="A5" activePane="bottomLeft" state="frozen"/>
      <selection activeCell="E14" sqref="E14"/>
      <selection pane="bottomLeft" activeCell="E14" sqref="E14"/>
    </sheetView>
  </sheetViews>
  <sheetFormatPr defaultColWidth="9" defaultRowHeight="14.25" x14ac:dyDescent="0.2"/>
  <cols>
    <col min="1" max="1" width="22" style="1" customWidth="1"/>
    <col min="2" max="5" width="14" style="1" customWidth="1"/>
    <col min="6" max="7" width="40" style="1" customWidth="1"/>
    <col min="8" max="8" width="38" style="1" customWidth="1"/>
    <col min="9" max="28" width="14" style="1" customWidth="1"/>
    <col min="29" max="35" width="12.625" style="1" customWidth="1"/>
    <col min="36" max="36" width="9" style="1" customWidth="1"/>
    <col min="37" max="16384" width="9" style="1"/>
  </cols>
  <sheetData>
    <row r="1" spans="1:16" s="2" customFormat="1" ht="85.5" customHeight="1" x14ac:dyDescent="0.2">
      <c r="A1" s="2" t="s">
        <v>159</v>
      </c>
      <c r="B1" s="2" t="s">
        <v>158</v>
      </c>
      <c r="C1" s="2" t="s">
        <v>237</v>
      </c>
      <c r="D1" s="2" t="s">
        <v>156</v>
      </c>
      <c r="E1" s="2" t="s">
        <v>155</v>
      </c>
      <c r="F1" s="2" t="s">
        <v>154</v>
      </c>
    </row>
    <row r="2" spans="1:16" s="2" customFormat="1" ht="28.5" customHeight="1" x14ac:dyDescent="0.2">
      <c r="A2" s="2" t="s">
        <v>151</v>
      </c>
      <c r="C2" s="2" t="s">
        <v>150</v>
      </c>
      <c r="D2" s="2" t="s">
        <v>149</v>
      </c>
      <c r="E2" s="2" t="s">
        <v>148</v>
      </c>
      <c r="F2" s="2" t="s">
        <v>147</v>
      </c>
      <c r="G2" s="2" t="s">
        <v>146</v>
      </c>
      <c r="H2" s="2" t="s">
        <v>145</v>
      </c>
      <c r="I2" s="2" t="s">
        <v>144</v>
      </c>
      <c r="J2" s="2" t="s">
        <v>143</v>
      </c>
      <c r="K2" s="2" t="s">
        <v>142</v>
      </c>
      <c r="L2" s="2" t="s">
        <v>141</v>
      </c>
      <c r="M2" s="2" t="s">
        <v>140</v>
      </c>
      <c r="N2" s="2" t="s">
        <v>139</v>
      </c>
      <c r="O2" s="2" t="s">
        <v>138</v>
      </c>
      <c r="P2" s="2" t="s">
        <v>137</v>
      </c>
    </row>
    <row r="3" spans="1:16" s="2" customFormat="1" ht="27" customHeight="1" x14ac:dyDescent="0.2">
      <c r="A3" s="2" t="s">
        <v>132</v>
      </c>
      <c r="I3" s="2" t="s">
        <v>236</v>
      </c>
      <c r="J3" s="2" t="s">
        <v>235</v>
      </c>
      <c r="K3" s="2" t="s">
        <v>176</v>
      </c>
      <c r="L3" s="2" t="s">
        <v>234</v>
      </c>
      <c r="M3" s="2" t="s">
        <v>233</v>
      </c>
      <c r="N3" s="2" t="s">
        <v>232</v>
      </c>
      <c r="O3" s="2" t="s">
        <v>231</v>
      </c>
      <c r="P3" s="2" t="s">
        <v>230</v>
      </c>
    </row>
    <row r="4" spans="1:16" s="2" customFormat="1" ht="39.950000000000003" customHeight="1" x14ac:dyDescent="0.2">
      <c r="A4" s="5" t="s">
        <v>229</v>
      </c>
      <c r="B4" s="5" t="s">
        <v>118</v>
      </c>
      <c r="C4" s="2" t="s">
        <v>117</v>
      </c>
      <c r="D4" s="2" t="s">
        <v>116</v>
      </c>
      <c r="E4" s="2" t="s">
        <v>116</v>
      </c>
      <c r="F4" s="2" t="s">
        <v>116</v>
      </c>
      <c r="I4" s="2" t="s">
        <v>115</v>
      </c>
      <c r="J4" s="2" t="s">
        <v>115</v>
      </c>
      <c r="K4" s="2" t="s">
        <v>115</v>
      </c>
      <c r="L4" s="2" t="s">
        <v>115</v>
      </c>
      <c r="M4" s="2" t="s">
        <v>115</v>
      </c>
      <c r="N4" s="2" t="s">
        <v>115</v>
      </c>
      <c r="O4" s="2" t="s">
        <v>115</v>
      </c>
      <c r="P4" s="2" t="s">
        <v>115</v>
      </c>
    </row>
    <row r="5" spans="1:16" s="2" customFormat="1" ht="57" customHeight="1" x14ac:dyDescent="0.2">
      <c r="A5" s="2" t="s">
        <v>228</v>
      </c>
      <c r="B5" s="2" t="s">
        <v>227</v>
      </c>
      <c r="C5" s="2" t="s">
        <v>226</v>
      </c>
      <c r="D5" s="2">
        <v>-1</v>
      </c>
      <c r="E5" s="2">
        <v>0</v>
      </c>
      <c r="F5" s="2">
        <v>999</v>
      </c>
      <c r="G5" s="2" t="s">
        <v>225</v>
      </c>
      <c r="H5" s="2" t="s">
        <v>224</v>
      </c>
      <c r="I5" s="2">
        <v>2</v>
      </c>
    </row>
    <row r="6" spans="1:16" s="2" customFormat="1" ht="42" customHeight="1" x14ac:dyDescent="0.2">
      <c r="A6" s="2" t="s">
        <v>223</v>
      </c>
      <c r="B6" s="2" t="s">
        <v>222</v>
      </c>
      <c r="C6" s="2" t="s">
        <v>221</v>
      </c>
      <c r="D6" s="2">
        <v>-1</v>
      </c>
      <c r="E6" s="2">
        <v>0</v>
      </c>
      <c r="F6" s="2">
        <v>999</v>
      </c>
      <c r="G6" s="2" t="s">
        <v>220</v>
      </c>
      <c r="H6" s="2" t="s">
        <v>219</v>
      </c>
      <c r="I6" s="2">
        <v>2</v>
      </c>
    </row>
    <row r="7" spans="1:16" s="2" customFormat="1" ht="48" customHeight="1" x14ac:dyDescent="0.2">
      <c r="A7" s="2" t="s">
        <v>218</v>
      </c>
      <c r="B7" s="2" t="s">
        <v>217</v>
      </c>
      <c r="C7" s="2" t="s">
        <v>216</v>
      </c>
      <c r="D7" s="2">
        <v>-1</v>
      </c>
      <c r="E7" s="2">
        <v>0</v>
      </c>
      <c r="F7" s="2">
        <v>999</v>
      </c>
      <c r="G7" s="2" t="s">
        <v>215</v>
      </c>
      <c r="H7" s="2" t="s">
        <v>214</v>
      </c>
      <c r="I7" s="2">
        <v>30</v>
      </c>
    </row>
    <row r="8" spans="1:16" s="2" customFormat="1" ht="35.1" customHeight="1" x14ac:dyDescent="0.2">
      <c r="A8" s="2" t="s">
        <v>213</v>
      </c>
      <c r="B8" s="2" t="s">
        <v>212</v>
      </c>
      <c r="C8" s="2" t="s">
        <v>211</v>
      </c>
      <c r="D8" s="2">
        <v>-2</v>
      </c>
      <c r="E8" s="2">
        <v>0</v>
      </c>
      <c r="F8" s="2">
        <v>999</v>
      </c>
      <c r="G8" s="2" t="s">
        <v>210</v>
      </c>
      <c r="H8" s="2" t="s">
        <v>209</v>
      </c>
      <c r="I8" s="2">
        <v>0.5</v>
      </c>
    </row>
    <row r="9" spans="1:16" s="2" customFormat="1" ht="33" customHeight="1" x14ac:dyDescent="0.2">
      <c r="A9" s="2" t="s">
        <v>208</v>
      </c>
      <c r="B9" s="2" t="s">
        <v>207</v>
      </c>
      <c r="C9" s="2" t="s">
        <v>206</v>
      </c>
      <c r="D9" s="2">
        <v>-1</v>
      </c>
      <c r="E9" s="2">
        <v>0</v>
      </c>
      <c r="F9" s="2">
        <v>999</v>
      </c>
      <c r="G9" s="2" t="s">
        <v>205</v>
      </c>
      <c r="H9" s="2" t="s">
        <v>204</v>
      </c>
      <c r="I9" s="2">
        <v>1</v>
      </c>
    </row>
    <row r="10" spans="1:16" s="2" customFormat="1" ht="54.95" customHeight="1" x14ac:dyDescent="0.2">
      <c r="A10" s="2" t="s">
        <v>203</v>
      </c>
      <c r="B10" s="2" t="s">
        <v>202</v>
      </c>
      <c r="C10" s="2" t="s">
        <v>201</v>
      </c>
      <c r="D10" s="2">
        <v>-1</v>
      </c>
      <c r="E10" s="2">
        <v>0</v>
      </c>
      <c r="F10" s="2">
        <v>999</v>
      </c>
      <c r="G10" s="2" t="s">
        <v>200</v>
      </c>
      <c r="H10" s="2" t="s">
        <v>199</v>
      </c>
      <c r="I10" s="2">
        <v>0.1</v>
      </c>
    </row>
    <row r="11" spans="1:16" s="2" customFormat="1" ht="57" customHeight="1" x14ac:dyDescent="0.2">
      <c r="A11" s="2" t="s">
        <v>198</v>
      </c>
      <c r="B11" s="2" t="s">
        <v>197</v>
      </c>
      <c r="C11" s="2" t="s">
        <v>196</v>
      </c>
      <c r="D11" s="2">
        <v>-2</v>
      </c>
      <c r="E11" s="2">
        <v>0</v>
      </c>
      <c r="F11" s="2">
        <v>1</v>
      </c>
      <c r="G11" s="2" t="s">
        <v>195</v>
      </c>
      <c r="H11" s="2" t="s">
        <v>194</v>
      </c>
      <c r="I11" s="2">
        <v>0.7</v>
      </c>
    </row>
    <row r="12" spans="1:16" s="2" customFormat="1" ht="57" customHeight="1" x14ac:dyDescent="0.2">
      <c r="A12" s="2" t="s">
        <v>193</v>
      </c>
      <c r="B12" s="2" t="s">
        <v>192</v>
      </c>
      <c r="C12" s="2" t="s">
        <v>191</v>
      </c>
      <c r="D12" s="2">
        <v>-2</v>
      </c>
      <c r="E12" s="2">
        <v>0</v>
      </c>
      <c r="F12" s="2">
        <v>999</v>
      </c>
      <c r="G12" s="2" t="s">
        <v>190</v>
      </c>
      <c r="H12" s="2" t="s">
        <v>189</v>
      </c>
      <c r="I12" s="2">
        <v>0.3</v>
      </c>
      <c r="J12" s="2">
        <v>1</v>
      </c>
    </row>
    <row r="13" spans="1:16" s="2" customFormat="1" ht="42.75" customHeight="1" x14ac:dyDescent="0.2">
      <c r="A13" s="2" t="s">
        <v>188</v>
      </c>
      <c r="B13" s="2" t="s">
        <v>187</v>
      </c>
      <c r="C13" s="2" t="s">
        <v>186</v>
      </c>
      <c r="D13" s="2">
        <v>-2</v>
      </c>
      <c r="E13" s="2">
        <v>0</v>
      </c>
      <c r="F13" s="2">
        <v>999</v>
      </c>
      <c r="G13" s="2" t="s">
        <v>185</v>
      </c>
      <c r="H13" s="2" t="s">
        <v>184</v>
      </c>
      <c r="I13" s="2">
        <v>0.5</v>
      </c>
      <c r="J13" s="2">
        <v>20</v>
      </c>
      <c r="K13" s="2">
        <v>3</v>
      </c>
    </row>
    <row r="14" spans="1:16" s="2" customFormat="1" ht="99.75" customHeight="1" x14ac:dyDescent="0.2">
      <c r="A14" s="2" t="s">
        <v>183</v>
      </c>
      <c r="B14" s="2" t="s">
        <v>182</v>
      </c>
      <c r="C14" s="2" t="s">
        <v>181</v>
      </c>
      <c r="D14" s="2">
        <v>-3</v>
      </c>
      <c r="E14" s="2">
        <v>0</v>
      </c>
      <c r="F14" s="2">
        <v>999</v>
      </c>
      <c r="H14" s="2" t="s">
        <v>180</v>
      </c>
    </row>
    <row r="15" spans="1:16" s="2" customFormat="1" ht="85.5" customHeight="1" x14ac:dyDescent="0.2">
      <c r="A15" s="2" t="s">
        <v>179</v>
      </c>
      <c r="B15" s="2" t="s">
        <v>178</v>
      </c>
      <c r="C15" s="2" t="s">
        <v>177</v>
      </c>
      <c r="D15" s="2">
        <v>-3</v>
      </c>
      <c r="E15" s="2">
        <v>0</v>
      </c>
      <c r="F15" s="2">
        <v>999</v>
      </c>
      <c r="G15" s="2" t="s">
        <v>176</v>
      </c>
      <c r="H15" s="2" t="s">
        <v>175</v>
      </c>
      <c r="I15" s="2">
        <v>2</v>
      </c>
      <c r="J15" s="2">
        <v>0.5</v>
      </c>
      <c r="K15" s="2">
        <v>2</v>
      </c>
      <c r="L15" s="2">
        <v>2</v>
      </c>
      <c r="M15" s="2">
        <v>1.2</v>
      </c>
    </row>
    <row r="16" spans="1:16" s="2" customFormat="1" ht="85.5" customHeight="1" x14ac:dyDescent="0.2">
      <c r="A16" s="2" t="s">
        <v>174</v>
      </c>
      <c r="B16" s="2" t="s">
        <v>173</v>
      </c>
      <c r="C16" s="2" t="s">
        <v>172</v>
      </c>
      <c r="D16" s="2">
        <v>-3</v>
      </c>
      <c r="E16" s="2">
        <v>0</v>
      </c>
      <c r="F16" s="2">
        <v>1</v>
      </c>
      <c r="G16" s="2" t="s">
        <v>171</v>
      </c>
      <c r="H16" s="2" t="s">
        <v>170</v>
      </c>
      <c r="I16" s="2">
        <v>5</v>
      </c>
      <c r="J16" s="2">
        <v>2</v>
      </c>
    </row>
    <row r="17" spans="1:10" s="2" customFormat="1" ht="57" x14ac:dyDescent="0.2">
      <c r="A17" s="2" t="s">
        <v>169</v>
      </c>
      <c r="B17" s="2" t="s">
        <v>168</v>
      </c>
      <c r="C17" s="2" t="s">
        <v>167</v>
      </c>
      <c r="D17" s="2">
        <v>-3</v>
      </c>
      <c r="E17" s="2">
        <v>0</v>
      </c>
      <c r="F17" s="2">
        <v>1</v>
      </c>
      <c r="G17" s="2" t="s">
        <v>166</v>
      </c>
      <c r="H17" s="2" t="s">
        <v>165</v>
      </c>
      <c r="I17" s="2">
        <v>50</v>
      </c>
      <c r="J17" s="2">
        <v>2</v>
      </c>
    </row>
    <row r="18" spans="1:10" s="2" customFormat="1" ht="99.75" customHeight="1" x14ac:dyDescent="0.2">
      <c r="A18" s="2" t="s">
        <v>164</v>
      </c>
      <c r="B18" s="2" t="s">
        <v>163</v>
      </c>
      <c r="C18" s="2" t="s">
        <v>162</v>
      </c>
      <c r="D18" s="2">
        <v>-3</v>
      </c>
      <c r="E18" s="2">
        <v>0</v>
      </c>
      <c r="F18" s="2">
        <v>1</v>
      </c>
      <c r="G18" s="2" t="s">
        <v>161</v>
      </c>
      <c r="H18" s="2" t="s">
        <v>160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8E366-E121-4861-82EE-6E2E66E17CE1}">
  <dimension ref="A1:G6"/>
  <sheetViews>
    <sheetView workbookViewId="0">
      <selection activeCell="E14" sqref="E14"/>
    </sheetView>
  </sheetViews>
  <sheetFormatPr defaultColWidth="9" defaultRowHeight="14.25" x14ac:dyDescent="0.2"/>
  <cols>
    <col min="1" max="1" width="22" style="2" customWidth="1"/>
    <col min="2" max="4" width="14" style="2" customWidth="1"/>
    <col min="5" max="5" width="42.75" style="2" customWidth="1"/>
    <col min="6" max="6" width="46.375" style="2" customWidth="1"/>
    <col min="7" max="7" width="22.75" style="2" customWidth="1"/>
    <col min="8" max="8" width="9" style="2" customWidth="1"/>
    <col min="9" max="16384" width="9" style="2"/>
  </cols>
  <sheetData>
    <row r="1" spans="1:7" ht="171" customHeight="1" x14ac:dyDescent="0.2">
      <c r="A1" s="2" t="s">
        <v>159</v>
      </c>
      <c r="B1" s="2" t="s">
        <v>158</v>
      </c>
      <c r="D1" s="2" t="s">
        <v>156</v>
      </c>
      <c r="G1" s="2" t="s">
        <v>237</v>
      </c>
    </row>
    <row r="2" spans="1:7" ht="28.5" customHeight="1" x14ac:dyDescent="0.2">
      <c r="A2" s="2" t="s">
        <v>151</v>
      </c>
      <c r="C2" s="2" t="s">
        <v>150</v>
      </c>
      <c r="D2" s="2" t="s">
        <v>149</v>
      </c>
      <c r="E2" s="2" t="s">
        <v>146</v>
      </c>
      <c r="F2" s="2" t="s">
        <v>145</v>
      </c>
      <c r="G2" s="2" t="s">
        <v>144</v>
      </c>
    </row>
    <row r="3" spans="1:7" ht="28.5" customHeight="1" x14ac:dyDescent="0.2">
      <c r="A3" s="2" t="s">
        <v>132</v>
      </c>
      <c r="B3" s="1"/>
      <c r="G3" s="1" t="s">
        <v>248</v>
      </c>
    </row>
    <row r="4" spans="1:7" x14ac:dyDescent="0.2">
      <c r="A4" s="5" t="s">
        <v>119</v>
      </c>
      <c r="B4" s="5" t="s">
        <v>118</v>
      </c>
      <c r="C4" s="2" t="s">
        <v>117</v>
      </c>
      <c r="D4" s="2" t="s">
        <v>116</v>
      </c>
      <c r="G4" s="2" t="s">
        <v>115</v>
      </c>
    </row>
    <row r="5" spans="1:7" ht="28.5" customHeight="1" x14ac:dyDescent="0.2">
      <c r="A5" s="2" t="s">
        <v>247</v>
      </c>
      <c r="B5" s="2" t="s">
        <v>246</v>
      </c>
      <c r="C5" s="2" t="s">
        <v>245</v>
      </c>
      <c r="D5" s="2">
        <v>1</v>
      </c>
      <c r="E5" s="1" t="s">
        <v>244</v>
      </c>
      <c r="F5" s="1" t="s">
        <v>243</v>
      </c>
      <c r="G5" s="2">
        <v>0.05</v>
      </c>
    </row>
    <row r="6" spans="1:7" ht="45.95" customHeight="1" x14ac:dyDescent="0.2">
      <c r="A6" s="2" t="s">
        <v>242</v>
      </c>
      <c r="B6" s="2" t="s">
        <v>241</v>
      </c>
      <c r="C6" s="2" t="s">
        <v>240</v>
      </c>
      <c r="D6" s="2">
        <v>2</v>
      </c>
      <c r="E6" s="1" t="s">
        <v>239</v>
      </c>
      <c r="F6" s="1" t="s">
        <v>238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单人血契</vt:lpstr>
      <vt:lpstr>单人副契</vt:lpstr>
      <vt:lpstr>多人血契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琛皓 沈</dc:creator>
  <cp:lastModifiedBy>琛皓 沈</cp:lastModifiedBy>
  <dcterms:created xsi:type="dcterms:W3CDTF">2026-08-14T14:14:39Z</dcterms:created>
  <dcterms:modified xsi:type="dcterms:W3CDTF">2026-08-14T14:14:59Z</dcterms:modified>
</cp:coreProperties>
</file>